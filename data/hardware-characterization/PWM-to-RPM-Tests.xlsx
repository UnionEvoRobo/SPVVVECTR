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ocuments\MCU Codes\SPVVVECTR\data\csv-files\"/>
    </mc:Choice>
  </mc:AlternateContent>
  <xr:revisionPtr revIDLastSave="0" documentId="13_ncr:1_{80F4D58F-6317-4C86-AF48-E06F2B93925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<sst xmlns="http://schemas.openxmlformats.org/spreadsheetml/2006/main" count="20" uniqueCount="14">
  <si>
    <t>PWM</t>
  </si>
  <si>
    <t>First test - RPM</t>
  </si>
  <si>
    <t>Second test - RPM</t>
  </si>
  <si>
    <t>655 (start moving)</t>
  </si>
  <si>
    <t>645~670 (wild fluc)</t>
  </si>
  <si>
    <t>N/a</t>
  </si>
  <si>
    <t>~670</t>
  </si>
  <si>
    <t>~695</t>
  </si>
  <si>
    <t>~675</t>
  </si>
  <si>
    <t>670~710</t>
  </si>
  <si>
    <t>~700</t>
  </si>
  <si>
    <t>Voltage</t>
  </si>
  <si>
    <t>Motor RPM varies around the data, not the exact due to open-loop contorl</t>
  </si>
  <si>
    <t>Motor 1 and Motor 2 at 660 RPM, Motor 3 at 0 best for anti-clockwise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</si>
</sst>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tabSelected="1" topLeftCell="A10" workbookViewId="0">
      <selection activeCell="B25" sqref="B25:E25"/>
    </sheetView>
  </sheetViews>
  <sheetFormatPr defaultRowHeight="14.5" x14ac:dyDescent="0.35"/>
  <cols>
    <col min="1" max="1" width="8.7265625" style="2"/>
    <col min="2" max="7" width="20.6328125" style="2" customWidth="1"/>
    <col min="8" max="16384" width="8.7265625" style="2"/>
  </cols>
  <sheetData>
    <row r="2" spans="2:5" x14ac:dyDescent="0.35">
      <c r="B2" s="1" t="s">
        <v>0</v>
      </c>
      <c r="C2" s="1" t="s">
        <v>11</v>
      </c>
      <c r="D2" s="1" t="s">
        <v>1</v>
      </c>
      <c r="E2" s="1" t="s">
        <v>2</v>
      </c>
    </row>
    <row r="3" spans="2:5" x14ac:dyDescent="0.35">
      <c r="B3" s="1">
        <f>1800</f>
        <v>1800</v>
      </c>
      <c r="C3" s="5">
        <f>B3/4095*5</f>
        <v>2.197802197802198</v>
      </c>
      <c r="D3" s="1">
        <v>510</v>
      </c>
      <c r="E3" s="1">
        <v>500</v>
      </c>
    </row>
    <row r="4" spans="2:5" x14ac:dyDescent="0.35">
      <c r="B4" s="1">
        <f>B3+50</f>
        <v>1850</v>
      </c>
      <c r="C4" s="5">
        <f t="shared" ref="C4:C22" si="0">B4/4095*5</f>
        <v>2.2588522588522588</v>
      </c>
      <c r="D4" s="1">
        <v>525</v>
      </c>
      <c r="E4" s="1">
        <v>518</v>
      </c>
    </row>
    <row r="5" spans="2:5" x14ac:dyDescent="0.35">
      <c r="B5" s="1">
        <f>B4+50</f>
        <v>1900</v>
      </c>
      <c r="C5" s="5">
        <f t="shared" si="0"/>
        <v>2.3199023199023201</v>
      </c>
      <c r="D5" s="1">
        <v>540</v>
      </c>
      <c r="E5" s="1">
        <v>536</v>
      </c>
    </row>
    <row r="6" spans="2:5" x14ac:dyDescent="0.35">
      <c r="B6" s="1">
        <f>B5+50</f>
        <v>1950</v>
      </c>
      <c r="C6" s="5">
        <f t="shared" si="0"/>
        <v>2.3809523809523809</v>
      </c>
      <c r="D6" s="1">
        <v>555</v>
      </c>
      <c r="E6" s="1">
        <v>555</v>
      </c>
    </row>
    <row r="7" spans="2:5" x14ac:dyDescent="0.35">
      <c r="B7" s="1">
        <f>B6+50</f>
        <v>2000</v>
      </c>
      <c r="C7" s="5">
        <f t="shared" si="0"/>
        <v>2.4420024420024418</v>
      </c>
      <c r="D7" s="1">
        <v>577</v>
      </c>
      <c r="E7" s="1">
        <v>570</v>
      </c>
    </row>
    <row r="8" spans="2:5" x14ac:dyDescent="0.35">
      <c r="B8" s="1">
        <f>B7+50</f>
        <v>2050</v>
      </c>
      <c r="C8" s="5">
        <f t="shared" si="0"/>
        <v>2.503052503052503</v>
      </c>
      <c r="D8" s="1">
        <v>595</v>
      </c>
      <c r="E8" s="1">
        <v>580</v>
      </c>
    </row>
    <row r="9" spans="2:5" x14ac:dyDescent="0.35">
      <c r="B9" s="1">
        <f>B8+50</f>
        <v>2100</v>
      </c>
      <c r="C9" s="5">
        <f t="shared" si="0"/>
        <v>2.5641025641025639</v>
      </c>
      <c r="D9" s="1">
        <v>609</v>
      </c>
      <c r="E9" s="1">
        <v>596</v>
      </c>
    </row>
    <row r="10" spans="2:5" x14ac:dyDescent="0.35">
      <c r="B10" s="1">
        <f>B9+50</f>
        <v>2150</v>
      </c>
      <c r="C10" s="5">
        <f t="shared" si="0"/>
        <v>2.6251526251526252</v>
      </c>
      <c r="D10" s="1">
        <v>625</v>
      </c>
      <c r="E10" s="1">
        <v>610</v>
      </c>
    </row>
    <row r="11" spans="2:5" x14ac:dyDescent="0.35">
      <c r="B11" s="1">
        <f>B10+50</f>
        <v>2200</v>
      </c>
      <c r="C11" s="5">
        <f t="shared" si="0"/>
        <v>2.686202686202686</v>
      </c>
      <c r="D11" s="1">
        <v>638</v>
      </c>
      <c r="E11" s="1">
        <v>620</v>
      </c>
    </row>
    <row r="12" spans="2:5" x14ac:dyDescent="0.35">
      <c r="B12" s="1">
        <f>B11+50</f>
        <v>2250</v>
      </c>
      <c r="C12" s="5">
        <f t="shared" si="0"/>
        <v>2.7472527472527473</v>
      </c>
      <c r="D12" s="1">
        <v>650</v>
      </c>
      <c r="E12" s="1">
        <v>630</v>
      </c>
    </row>
    <row r="13" spans="2:5" x14ac:dyDescent="0.35">
      <c r="B13" s="1">
        <f>B12+50</f>
        <v>2300</v>
      </c>
      <c r="C13" s="5">
        <f t="shared" si="0"/>
        <v>2.8083028083028081</v>
      </c>
      <c r="D13" s="1">
        <v>665</v>
      </c>
      <c r="E13" s="1">
        <v>640</v>
      </c>
    </row>
    <row r="14" spans="2:5" x14ac:dyDescent="0.35">
      <c r="B14" s="3">
        <f>B13+50</f>
        <v>2350</v>
      </c>
      <c r="C14" s="5">
        <f t="shared" si="0"/>
        <v>2.8693528693528689</v>
      </c>
      <c r="D14" s="3">
        <v>670</v>
      </c>
      <c r="E14" s="3" t="s">
        <v>3</v>
      </c>
    </row>
    <row r="15" spans="2:5" x14ac:dyDescent="0.35">
      <c r="B15" s="1">
        <f>B14+50</f>
        <v>2400</v>
      </c>
      <c r="C15" s="5">
        <f t="shared" si="0"/>
        <v>2.9304029304029307</v>
      </c>
      <c r="D15" s="1">
        <v>680</v>
      </c>
      <c r="E15" s="1" t="s">
        <v>4</v>
      </c>
    </row>
    <row r="16" spans="2:5" x14ac:dyDescent="0.35">
      <c r="B16" s="1">
        <f>B15+50</f>
        <v>2450</v>
      </c>
      <c r="C16" s="5">
        <f t="shared" si="0"/>
        <v>2.9914529914529915</v>
      </c>
      <c r="D16" s="1" t="s">
        <v>5</v>
      </c>
      <c r="E16" s="1" t="s">
        <v>6</v>
      </c>
    </row>
    <row r="17" spans="2:5" x14ac:dyDescent="0.35">
      <c r="B17" s="1">
        <f>B16+50</f>
        <v>2500</v>
      </c>
      <c r="C17" s="5">
        <f t="shared" si="0"/>
        <v>3.0525030525030528</v>
      </c>
      <c r="D17" s="1" t="s">
        <v>5</v>
      </c>
      <c r="E17" s="1" t="s">
        <v>8</v>
      </c>
    </row>
    <row r="18" spans="2:5" x14ac:dyDescent="0.35">
      <c r="B18" s="1">
        <f>B17+50</f>
        <v>2550</v>
      </c>
      <c r="C18" s="5">
        <f t="shared" si="0"/>
        <v>3.1135531135531136</v>
      </c>
      <c r="D18" s="1" t="s">
        <v>5</v>
      </c>
      <c r="E18" s="1" t="s">
        <v>7</v>
      </c>
    </row>
    <row r="19" spans="2:5" x14ac:dyDescent="0.35">
      <c r="B19" s="1">
        <f>B18+50</f>
        <v>2600</v>
      </c>
      <c r="C19" s="5">
        <f t="shared" si="0"/>
        <v>3.1746031746031744</v>
      </c>
      <c r="D19" s="1" t="s">
        <v>5</v>
      </c>
      <c r="E19" s="1" t="s">
        <v>9</v>
      </c>
    </row>
    <row r="20" spans="2:5" x14ac:dyDescent="0.35">
      <c r="B20" s="1">
        <f>B19+50</f>
        <v>2650</v>
      </c>
      <c r="C20" s="5">
        <f t="shared" si="0"/>
        <v>3.2356532356532357</v>
      </c>
      <c r="D20" s="1" t="s">
        <v>5</v>
      </c>
      <c r="E20" s="1" t="s">
        <v>10</v>
      </c>
    </row>
    <row r="21" spans="2:5" x14ac:dyDescent="0.35">
      <c r="B21" s="3">
        <f>B20+50</f>
        <v>2700</v>
      </c>
      <c r="C21" s="5">
        <f t="shared" si="0"/>
        <v>3.2967032967032965</v>
      </c>
      <c r="D21" s="1" t="s">
        <v>5</v>
      </c>
      <c r="E21" s="3"/>
    </row>
    <row r="22" spans="2:5" x14ac:dyDescent="0.35">
      <c r="B22" s="1">
        <f>B21+50</f>
        <v>2750</v>
      </c>
      <c r="C22" s="5">
        <f t="shared" si="0"/>
        <v>3.3577533577533574</v>
      </c>
      <c r="D22" s="1" t="s">
        <v>5</v>
      </c>
      <c r="E22" s="1"/>
    </row>
    <row r="23" spans="2:5" x14ac:dyDescent="0.35">
      <c r="B23" s="4"/>
      <c r="C23" s="4"/>
      <c r="D23" s="4"/>
      <c r="E23" s="4"/>
    </row>
    <row r="24" spans="2:5" x14ac:dyDescent="0.35">
      <c r="B24" s="6" t="s">
        <v>13</v>
      </c>
      <c r="C24" s="6"/>
      <c r="D24" s="6"/>
      <c r="E24" s="6"/>
    </row>
    <row r="25" spans="2:5" x14ac:dyDescent="0.35">
      <c r="B25" s="7" t="s">
        <v>12</v>
      </c>
      <c r="C25" s="7"/>
      <c r="D25" s="7"/>
      <c r="E25" s="7"/>
    </row>
  </sheetData>
  <mergeCells count="2">
    <mergeCell ref="B24:E24"/>
    <mergeCell ref="B25:E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Đặng Duy</dc:creator>
  <cp:lastModifiedBy>Hưng Đặng Duy</cp:lastModifiedBy>
  <dcterms:created xsi:type="dcterms:W3CDTF">2015-06-05T18:17:20Z</dcterms:created>
  <dcterms:modified xsi:type="dcterms:W3CDTF">2026-07-13T19:59:34Z</dcterms:modified>
</cp:coreProperties>
</file>